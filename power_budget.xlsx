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kicad_designs\Preamp_1\"/>
    </mc:Choice>
  </mc:AlternateContent>
  <bookViews>
    <workbookView xWindow="0" yWindow="0" windowWidth="28800" windowHeight="12435" firstSheet="2" activeTab="2"/>
  </bookViews>
  <sheets>
    <sheet name="Power Budget" sheetId="1" state="hidden" r:id="rId1"/>
    <sheet name="I2SoverUSB Pinout" sheetId="2" state="hidden" r:id="rId2"/>
    <sheet name="Power Budget (2)" sheetId="3" r:id="rId3"/>
    <sheet name="DSP Pinout and Config" sheetId="4" r:id="rId4"/>
    <sheet name="Setpoint Calc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9" i="5" l="1"/>
  <c r="E55" i="5"/>
  <c r="F59" i="5" s="1"/>
  <c r="G54" i="5"/>
  <c r="F50" i="5"/>
  <c r="E50" i="5"/>
  <c r="E46" i="5"/>
  <c r="G45" i="5"/>
  <c r="F42" i="5"/>
  <c r="E38" i="5"/>
  <c r="E42" i="5"/>
  <c r="G37" i="5"/>
  <c r="G36" i="3"/>
  <c r="H36" i="3" s="1"/>
  <c r="J36" i="3" s="1"/>
  <c r="G25" i="5" l="1"/>
  <c r="G24" i="5"/>
  <c r="G14" i="5"/>
  <c r="G13" i="5"/>
  <c r="G3" i="5"/>
  <c r="G4" i="5"/>
  <c r="D42" i="3" l="1"/>
  <c r="F24" i="3" l="1"/>
  <c r="F26" i="3"/>
  <c r="E25" i="3"/>
  <c r="F25" i="3" s="1"/>
  <c r="E23" i="3"/>
  <c r="G38" i="3" s="1"/>
  <c r="H38" i="3" s="1"/>
  <c r="J38" i="3" s="1"/>
  <c r="G31" i="3"/>
  <c r="G32" i="3"/>
  <c r="G33" i="3"/>
  <c r="G34" i="3"/>
  <c r="G37" i="3"/>
  <c r="D44" i="3" s="1"/>
  <c r="F44" i="3" s="1"/>
  <c r="G39" i="3"/>
  <c r="H39" i="3" s="1"/>
  <c r="F22" i="3"/>
  <c r="F21" i="3"/>
  <c r="F20" i="3"/>
  <c r="J39" i="3" l="1"/>
  <c r="M39" i="3"/>
  <c r="F23" i="3"/>
  <c r="G35" i="3"/>
  <c r="F42" i="3" s="1"/>
  <c r="D45" i="3"/>
  <c r="F45" i="3" s="1"/>
  <c r="D43" i="3"/>
  <c r="F43" i="3" s="1"/>
  <c r="D47" i="3"/>
  <c r="F47" i="3" s="1"/>
  <c r="D50" i="3"/>
  <c r="H33" i="3"/>
  <c r="J33" i="3" s="1"/>
  <c r="D51" i="3"/>
  <c r="F19" i="3"/>
  <c r="F18" i="3"/>
  <c r="E42" i="3" l="1"/>
  <c r="G42" i="3" s="1"/>
  <c r="E50" i="3"/>
  <c r="H34" i="3"/>
  <c r="J34" i="3" s="1"/>
  <c r="H37" i="3"/>
  <c r="J37" i="3" s="1"/>
  <c r="D48" i="3"/>
  <c r="F48" i="3" s="1"/>
  <c r="F14" i="3"/>
  <c r="F13" i="3"/>
  <c r="F12" i="3"/>
  <c r="F11" i="3"/>
  <c r="F10" i="3"/>
  <c r="F9" i="3"/>
  <c r="F8" i="3"/>
  <c r="F7" i="3"/>
  <c r="F6" i="3"/>
  <c r="F5" i="3"/>
  <c r="H32" i="3"/>
  <c r="J32" i="3" s="1"/>
  <c r="H31" i="3"/>
  <c r="J31" i="3" s="1"/>
  <c r="F17" i="3"/>
  <c r="F16" i="3"/>
  <c r="F15" i="3"/>
  <c r="F4" i="3"/>
  <c r="F3" i="3"/>
  <c r="F1" i="3" l="1"/>
  <c r="H35" i="3"/>
  <c r="J35" i="3" s="1"/>
  <c r="E29" i="1"/>
  <c r="E30" i="1"/>
  <c r="C28" i="1" s="1"/>
  <c r="E28" i="1"/>
  <c r="E9" i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16" i="1"/>
  <c r="E12" i="1"/>
  <c r="E11" i="1"/>
  <c r="E10" i="1"/>
  <c r="E21" i="1" l="1"/>
  <c r="F21" i="1" s="1"/>
  <c r="H21" i="1" s="1"/>
  <c r="F16" i="1"/>
  <c r="H16" i="1" s="1"/>
  <c r="E8" i="1"/>
  <c r="E7" i="1" l="1"/>
  <c r="E6" i="1"/>
  <c r="E4" i="1"/>
  <c r="E5" i="1"/>
  <c r="E3" i="1"/>
  <c r="E1" i="1" l="1"/>
</calcChain>
</file>

<file path=xl/sharedStrings.xml><?xml version="1.0" encoding="utf-8"?>
<sst xmlns="http://schemas.openxmlformats.org/spreadsheetml/2006/main" count="373" uniqueCount="181">
  <si>
    <t>Power Budget</t>
  </si>
  <si>
    <t>Voltage Rail</t>
  </si>
  <si>
    <t>Voltage</t>
  </si>
  <si>
    <t>Current (mA)</t>
  </si>
  <si>
    <t>VDD</t>
  </si>
  <si>
    <t>Device</t>
  </si>
  <si>
    <t>Power (mW)</t>
  </si>
  <si>
    <t>mW</t>
  </si>
  <si>
    <t>H1</t>
  </si>
  <si>
    <t>Pin</t>
  </si>
  <si>
    <t>Name</t>
  </si>
  <si>
    <t>Connect To</t>
  </si>
  <si>
    <t>GND</t>
  </si>
  <si>
    <t>GP_IN</t>
  </si>
  <si>
    <t>A0</t>
  </si>
  <si>
    <t>LOW = 44.1KHZ, HIGH = 48KHZ</t>
  </si>
  <si>
    <t>A1</t>
  </si>
  <si>
    <t>A2</t>
  </si>
  <si>
    <t>SAMPLING RATE INFO</t>
  </si>
  <si>
    <t>MUTE</t>
  </si>
  <si>
    <t>low = must mute the dac</t>
  </si>
  <si>
    <t>DSD_PCM</t>
  </si>
  <si>
    <t>low = PCM, high = DSD</t>
  </si>
  <si>
    <t>A3</t>
  </si>
  <si>
    <t>NC, power from usb host</t>
  </si>
  <si>
    <t>H2</t>
  </si>
  <si>
    <t>A0_ISO</t>
  </si>
  <si>
    <t>EX_MCLK</t>
  </si>
  <si>
    <t>MCLK_OUT2</t>
  </si>
  <si>
    <t>MCLK_OUT1</t>
  </si>
  <si>
    <t>SPDIF</t>
  </si>
  <si>
    <t>BCLK_I2S</t>
  </si>
  <si>
    <t>DATA_I2S</t>
  </si>
  <si>
    <t>LR_CLK_I2S</t>
  </si>
  <si>
    <t>DSD_PCM_ISO</t>
  </si>
  <si>
    <t>MUTE_ISO</t>
  </si>
  <si>
    <t>Notes</t>
  </si>
  <si>
    <t>external master clock input</t>
  </si>
  <si>
    <t>5VDD</t>
  </si>
  <si>
    <t>low = audio stream valid
high = audio stream invalid and mute DAC</t>
  </si>
  <si>
    <t>PCM5102A</t>
  </si>
  <si>
    <t>3.3VA</t>
  </si>
  <si>
    <t>3.3VDD</t>
  </si>
  <si>
    <t>1.8VDD</t>
  </si>
  <si>
    <t>Buffer</t>
  </si>
  <si>
    <t>PCM2706C</t>
  </si>
  <si>
    <t>PGA2311</t>
  </si>
  <si>
    <t>VCC (5V)</t>
  </si>
  <si>
    <t>Regulator</t>
  </si>
  <si>
    <t>LT3042</t>
  </si>
  <si>
    <t>TPS7A89</t>
  </si>
  <si>
    <t>TPS7A39</t>
  </si>
  <si>
    <t>Input Voltage</t>
  </si>
  <si>
    <t>Output Voltage</t>
  </si>
  <si>
    <t>Current</t>
  </si>
  <si>
    <t>VEE (-5V)</t>
  </si>
  <si>
    <t>Power Diss (mW)</t>
  </si>
  <si>
    <t>Theta_JA (C/W)</t>
  </si>
  <si>
    <t>delta_C</t>
  </si>
  <si>
    <t>TPS7B87</t>
  </si>
  <si>
    <t>P_9V</t>
  </si>
  <si>
    <t>N_9V</t>
  </si>
  <si>
    <t>ADUM4166</t>
  </si>
  <si>
    <t>VCC (10V)</t>
  </si>
  <si>
    <t>VEE (-10V)</t>
  </si>
  <si>
    <t>Opamp (signal)</t>
  </si>
  <si>
    <t>Opamp (amp)</t>
  </si>
  <si>
    <t>ESP32</t>
  </si>
  <si>
    <t>3.3V</t>
  </si>
  <si>
    <t>Display</t>
  </si>
  <si>
    <t>Current Limit</t>
  </si>
  <si>
    <t>1.8V</t>
  </si>
  <si>
    <t>TPS7A05</t>
  </si>
  <si>
    <t>N_12V</t>
  </si>
  <si>
    <t>P_12V</t>
  </si>
  <si>
    <t>ADAU1701</t>
  </si>
  <si>
    <t>3.3VDD (VDD)</t>
  </si>
  <si>
    <t>3.3VA (AVDD, CPVDD)</t>
  </si>
  <si>
    <t>LDOO</t>
  </si>
  <si>
    <t>AVDD</t>
  </si>
  <si>
    <t>DVDD</t>
  </si>
  <si>
    <t>PVDD</t>
  </si>
  <si>
    <t>IOVDD</t>
  </si>
  <si>
    <t>analog</t>
  </si>
  <si>
    <t>digital</t>
  </si>
  <si>
    <t>PLL</t>
  </si>
  <si>
    <t>IO</t>
  </si>
  <si>
    <t>5V</t>
  </si>
  <si>
    <t>RKZE-0505S</t>
  </si>
  <si>
    <t>Unreg 5V</t>
  </si>
  <si>
    <t>Multipurpose</t>
  </si>
  <si>
    <t>MP0</t>
  </si>
  <si>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</si>
  <si>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</si>
  <si>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</si>
  <si>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</si>
  <si>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</si>
  <si>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</si>
  <si>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</si>
  <si>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</si>
  <si>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</si>
  <si>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</si>
  <si>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</si>
  <si>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ADC1</t>
  </si>
  <si>
    <t>ADC2</t>
  </si>
  <si>
    <t>ADC3</t>
  </si>
  <si>
    <t>ADC0</t>
  </si>
  <si>
    <t>Use</t>
  </si>
  <si>
    <t>POT1</t>
  </si>
  <si>
    <t>POT2</t>
  </si>
  <si>
    <t>POT3</t>
  </si>
  <si>
    <t>POT0</t>
  </si>
  <si>
    <t>SDATA_IN0 / tdm_IN</t>
  </si>
  <si>
    <t>SDATA_IN1</t>
  </si>
  <si>
    <t>Serial Data</t>
  </si>
  <si>
    <t>Analog</t>
  </si>
  <si>
    <t>SDATA_IN2</t>
  </si>
  <si>
    <t>SDATA_IN3</t>
  </si>
  <si>
    <t>INPUT_LRCLK</t>
  </si>
  <si>
    <t>INPUT_BCLK</t>
  </si>
  <si>
    <t>SDATA_OUT0 / TDM_OUT</t>
  </si>
  <si>
    <t>SDATA_OUT1</t>
  </si>
  <si>
    <t>SDATA_OUT2</t>
  </si>
  <si>
    <t>SDATA_OUT3</t>
  </si>
  <si>
    <t>OUTPUT_LRCLK</t>
  </si>
  <si>
    <t>OUTPUT_BCLK</t>
  </si>
  <si>
    <t>OUTPUT_LRCK</t>
  </si>
  <si>
    <t>OUTPUT_BCK</t>
  </si>
  <si>
    <t>DATA_OUT</t>
  </si>
  <si>
    <t>DATA_IN</t>
  </si>
  <si>
    <t>INPUT_LRCK</t>
  </si>
  <si>
    <t>INPUT_BCK</t>
  </si>
  <si>
    <t>Pushbutton</t>
  </si>
  <si>
    <t>V_NRSS</t>
  </si>
  <si>
    <t>V</t>
  </si>
  <si>
    <t>VOUTP</t>
  </si>
  <si>
    <t>10V</t>
  </si>
  <si>
    <t>V_NRSS * (1+R1P/R2P)</t>
  </si>
  <si>
    <t>VOUTN</t>
  </si>
  <si>
    <t>N_10V</t>
  </si>
  <si>
    <t>V_NRSS*(-R1N/R2N)</t>
  </si>
  <si>
    <t>R1P</t>
  </si>
  <si>
    <t>ohm</t>
  </si>
  <si>
    <t>R2P</t>
  </si>
  <si>
    <t>R1N</t>
  </si>
  <si>
    <t>R2N</t>
  </si>
  <si>
    <t>5V +/- LDO</t>
  </si>
  <si>
    <t>10V +/- LDO</t>
  </si>
  <si>
    <t>R1</t>
  </si>
  <si>
    <t>R2</t>
  </si>
  <si>
    <t>Split Rail Switcher</t>
  </si>
  <si>
    <t>TPS65131RGE</t>
  </si>
  <si>
    <t>VOUT_N</t>
  </si>
  <si>
    <t>12V</t>
  </si>
  <si>
    <t>V_REF</t>
  </si>
  <si>
    <t>R1/R2*V_REF+1</t>
  </si>
  <si>
    <t>R3</t>
  </si>
  <si>
    <t>R4</t>
  </si>
  <si>
    <t>R3/-R4*V_REF</t>
  </si>
  <si>
    <t>Input Buffer</t>
  </si>
  <si>
    <t>Input Filter</t>
  </si>
  <si>
    <t>Input Buffer - EPS32</t>
  </si>
  <si>
    <t>Output Stage</t>
  </si>
  <si>
    <t>ESP32 Summer</t>
  </si>
  <si>
    <t>none</t>
  </si>
  <si>
    <t>P5.5V</t>
  </si>
  <si>
    <t>Theta_JB (C/W)</t>
  </si>
  <si>
    <t>VOUT</t>
  </si>
  <si>
    <t>Lower</t>
  </si>
  <si>
    <t>Upper</t>
  </si>
  <si>
    <t>IADJ</t>
  </si>
  <si>
    <t>A</t>
  </si>
  <si>
    <t>CFF</t>
  </si>
  <si>
    <t>nF</t>
  </si>
  <si>
    <t>TPS7B8601</t>
  </si>
  <si>
    <t>V_REF*(1+R1/R2)</t>
  </si>
  <si>
    <t>r_sum</t>
  </si>
  <si>
    <t>1M</t>
  </si>
  <si>
    <t>150k</t>
  </si>
  <si>
    <t>245k</t>
  </si>
  <si>
    <t>56k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</si>
</sst>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A3" sqref="A3:E5"/>
    </sheetView>
  </sheetViews>
  <sheetFormatPr defaultRowHeight="15" x14ac:dyDescent="0.25"/>
  <cols>
    <col min="2" max="2" width="13.5703125" bestFit="1" customWidth="1"/>
    <col min="3" max="3" width="7.85546875" bestFit="1" customWidth="1"/>
    <col min="4" max="4" width="12.5703125" bestFit="1" customWidth="1"/>
    <col min="5" max="5" width="12.140625" bestFit="1" customWidth="1"/>
    <col min="6" max="6" width="16.28515625" bestFit="1" customWidth="1"/>
  </cols>
  <sheetData>
    <row r="1" spans="1:8" x14ac:dyDescent="0.25">
      <c r="B1" t="s">
        <v>0</v>
      </c>
      <c r="E1">
        <f>SUM(E3:E17)</f>
        <v>937.9</v>
      </c>
      <c r="F1" t="s">
        <v>7</v>
      </c>
    </row>
    <row r="2" spans="1:8" x14ac:dyDescent="0.25">
      <c r="A2" t="s">
        <v>5</v>
      </c>
      <c r="B2" t="s">
        <v>1</v>
      </c>
      <c r="C2" t="s">
        <v>2</v>
      </c>
      <c r="D2" t="s">
        <v>3</v>
      </c>
      <c r="E2" t="s">
        <v>6</v>
      </c>
    </row>
    <row r="3" spans="1:8" x14ac:dyDescent="0.25">
      <c r="A3" t="s">
        <v>40</v>
      </c>
      <c r="B3" t="s">
        <v>41</v>
      </c>
      <c r="C3">
        <v>3.3</v>
      </c>
      <c r="D3">
        <v>22</v>
      </c>
      <c r="E3">
        <f>C3*D3</f>
        <v>72.599999999999994</v>
      </c>
    </row>
    <row r="4" spans="1:8" x14ac:dyDescent="0.25">
      <c r="A4" t="s">
        <v>40</v>
      </c>
      <c r="B4" t="s">
        <v>42</v>
      </c>
      <c r="C4">
        <v>3.3</v>
      </c>
      <c r="D4">
        <v>9</v>
      </c>
      <c r="E4">
        <f t="shared" ref="E4:E12" si="0">C4*D4</f>
        <v>29.7</v>
      </c>
    </row>
    <row r="5" spans="1:8" x14ac:dyDescent="0.25">
      <c r="A5" t="s">
        <v>40</v>
      </c>
      <c r="B5" t="s">
        <v>43</v>
      </c>
      <c r="C5">
        <v>1.8</v>
      </c>
      <c r="D5">
        <v>9</v>
      </c>
      <c r="E5">
        <f t="shared" si="0"/>
        <v>16.2</v>
      </c>
    </row>
    <row r="6" spans="1:8" x14ac:dyDescent="0.25">
      <c r="A6" t="s">
        <v>44</v>
      </c>
      <c r="B6" t="s">
        <v>47</v>
      </c>
      <c r="C6">
        <v>5</v>
      </c>
      <c r="D6">
        <v>10</v>
      </c>
      <c r="E6">
        <f t="shared" si="0"/>
        <v>50</v>
      </c>
    </row>
    <row r="7" spans="1:8" x14ac:dyDescent="0.25">
      <c r="A7" t="s">
        <v>44</v>
      </c>
      <c r="B7" t="s">
        <v>55</v>
      </c>
      <c r="C7">
        <v>5</v>
      </c>
      <c r="D7">
        <v>10</v>
      </c>
      <c r="E7">
        <f t="shared" si="0"/>
        <v>50</v>
      </c>
    </row>
    <row r="8" spans="1:8" x14ac:dyDescent="0.25">
      <c r="A8" t="s">
        <v>45</v>
      </c>
      <c r="B8" t="s">
        <v>42</v>
      </c>
      <c r="C8">
        <v>3.3</v>
      </c>
      <c r="D8">
        <v>108</v>
      </c>
      <c r="E8">
        <f t="shared" si="0"/>
        <v>356.4</v>
      </c>
    </row>
    <row r="9" spans="1:8" x14ac:dyDescent="0.25">
      <c r="A9" t="s">
        <v>62</v>
      </c>
      <c r="B9" t="s">
        <v>42</v>
      </c>
      <c r="C9">
        <v>3.3</v>
      </c>
      <c r="D9">
        <v>30</v>
      </c>
      <c r="E9">
        <f t="shared" si="0"/>
        <v>99</v>
      </c>
    </row>
    <row r="10" spans="1:8" x14ac:dyDescent="0.25">
      <c r="A10" t="s">
        <v>46</v>
      </c>
      <c r="B10" t="s">
        <v>38</v>
      </c>
      <c r="C10">
        <v>5</v>
      </c>
      <c r="D10">
        <v>1</v>
      </c>
      <c r="E10">
        <f t="shared" si="0"/>
        <v>5</v>
      </c>
    </row>
    <row r="11" spans="1:8" x14ac:dyDescent="0.25">
      <c r="A11" t="s">
        <v>46</v>
      </c>
      <c r="B11" t="s">
        <v>47</v>
      </c>
      <c r="C11">
        <v>5</v>
      </c>
      <c r="D11">
        <v>8</v>
      </c>
      <c r="E11">
        <f t="shared" si="0"/>
        <v>40</v>
      </c>
    </row>
    <row r="12" spans="1:8" x14ac:dyDescent="0.25">
      <c r="A12" t="s">
        <v>46</v>
      </c>
      <c r="B12" t="s">
        <v>55</v>
      </c>
      <c r="C12">
        <v>5</v>
      </c>
      <c r="D12">
        <v>10</v>
      </c>
      <c r="E12">
        <f t="shared" si="0"/>
        <v>50</v>
      </c>
    </row>
    <row r="15" spans="1:8" x14ac:dyDescent="0.25">
      <c r="A15" t="s">
        <v>48</v>
      </c>
      <c r="B15" t="s">
        <v>1</v>
      </c>
      <c r="C15" t="s">
        <v>52</v>
      </c>
      <c r="D15" t="s">
        <v>53</v>
      </c>
      <c r="E15" t="s">
        <v>3</v>
      </c>
      <c r="F15" t="s">
        <v>56</v>
      </c>
      <c r="G15" t="s">
        <v>57</v>
      </c>
      <c r="H15" t="s">
        <v>58</v>
      </c>
    </row>
    <row r="16" spans="1:8" x14ac:dyDescent="0.25">
      <c r="A16" t="s">
        <v>49</v>
      </c>
      <c r="B16" t="s">
        <v>41</v>
      </c>
      <c r="C16">
        <v>5</v>
      </c>
      <c r="D16">
        <v>3.3</v>
      </c>
      <c r="E16">
        <f>SUMIF($B$3:$B$12,B16,$D$3:$D$12)</f>
        <v>22</v>
      </c>
      <c r="F16">
        <f>(C16-D16)*E16</f>
        <v>37.400000000000006</v>
      </c>
      <c r="G16">
        <v>33</v>
      </c>
      <c r="H16">
        <f>F16*G16/1000</f>
        <v>1.2342000000000002</v>
      </c>
    </row>
    <row r="17" spans="1:8" x14ac:dyDescent="0.25">
      <c r="A17" t="s">
        <v>50</v>
      </c>
      <c r="B17" t="s">
        <v>42</v>
      </c>
      <c r="C17">
        <v>5</v>
      </c>
      <c r="D17">
        <v>3.3</v>
      </c>
      <c r="E17">
        <f>SUMIF($B$3:$B$12,B17,$D$3:$D$12)</f>
        <v>147</v>
      </c>
      <c r="F17">
        <f t="shared" ref="F17:F21" si="1">(C17-D17)*E17</f>
        <v>249.90000000000003</v>
      </c>
      <c r="G17">
        <v>33</v>
      </c>
      <c r="H17">
        <f t="shared" ref="H17:H21" si="2">F17*G17/1000</f>
        <v>8.2467000000000006</v>
      </c>
    </row>
    <row r="18" spans="1:8" x14ac:dyDescent="0.25">
      <c r="A18" t="s">
        <v>50</v>
      </c>
      <c r="B18" t="s">
        <v>43</v>
      </c>
      <c r="C18">
        <v>5</v>
      </c>
      <c r="D18">
        <v>1.8</v>
      </c>
      <c r="E18">
        <f>SUMIF($B$3:$B$12,B18,$D$3:$D$12)</f>
        <v>9</v>
      </c>
      <c r="F18">
        <f t="shared" si="1"/>
        <v>28.8</v>
      </c>
      <c r="G18">
        <v>33</v>
      </c>
      <c r="H18">
        <f t="shared" si="2"/>
        <v>0.95040000000000002</v>
      </c>
    </row>
    <row r="19" spans="1:8" x14ac:dyDescent="0.25">
      <c r="A19" t="s">
        <v>51</v>
      </c>
      <c r="B19" t="s">
        <v>47</v>
      </c>
      <c r="C19">
        <v>9</v>
      </c>
      <c r="D19">
        <v>5</v>
      </c>
      <c r="E19">
        <f>SUMIF($B$3:$B$12,B19,$D$3:$D$12)</f>
        <v>18</v>
      </c>
      <c r="F19">
        <f t="shared" si="1"/>
        <v>72</v>
      </c>
      <c r="G19">
        <v>44.4</v>
      </c>
      <c r="H19">
        <f t="shared" si="2"/>
        <v>3.1967999999999996</v>
      </c>
    </row>
    <row r="20" spans="1:8" x14ac:dyDescent="0.25">
      <c r="A20" t="s">
        <v>51</v>
      </c>
      <c r="B20" t="s">
        <v>55</v>
      </c>
      <c r="C20">
        <v>9</v>
      </c>
      <c r="D20">
        <v>5</v>
      </c>
      <c r="E20">
        <f>SUMIF($B$3:$B$12,B20,$D$3:$D$12)</f>
        <v>20</v>
      </c>
      <c r="F20">
        <f t="shared" si="1"/>
        <v>80</v>
      </c>
      <c r="G20">
        <v>44.4</v>
      </c>
      <c r="H20">
        <f t="shared" si="2"/>
        <v>3.552</v>
      </c>
    </row>
    <row r="21" spans="1:8" x14ac:dyDescent="0.25">
      <c r="A21" t="s">
        <v>59</v>
      </c>
      <c r="B21" t="s">
        <v>38</v>
      </c>
      <c r="C21">
        <v>9</v>
      </c>
      <c r="D21">
        <v>5</v>
      </c>
      <c r="E21">
        <f>SUMIF($B$3:$B$12,B21,$D$3:$D$12)+E16+E17+E18</f>
        <v>179</v>
      </c>
      <c r="F21">
        <f t="shared" si="1"/>
        <v>716</v>
      </c>
      <c r="G21">
        <v>29.7</v>
      </c>
      <c r="H21">
        <f t="shared" si="2"/>
        <v>21.2652</v>
      </c>
    </row>
    <row r="26" spans="1:8" x14ac:dyDescent="0.25">
      <c r="B26" t="s">
        <v>48</v>
      </c>
      <c r="C26" t="s">
        <v>54</v>
      </c>
      <c r="D26" t="s">
        <v>48</v>
      </c>
      <c r="E26" t="s">
        <v>54</v>
      </c>
    </row>
    <row r="27" spans="1:8" x14ac:dyDescent="0.25">
      <c r="A27" t="s">
        <v>60</v>
      </c>
      <c r="B27" t="s">
        <v>47</v>
      </c>
      <c r="C27">
        <v>18</v>
      </c>
    </row>
    <row r="28" spans="1:8" x14ac:dyDescent="0.25">
      <c r="B28" t="s">
        <v>38</v>
      </c>
      <c r="C28">
        <f>1+E28+E29+E30</f>
        <v>179</v>
      </c>
      <c r="D28" t="s">
        <v>41</v>
      </c>
      <c r="E28">
        <f>E16</f>
        <v>22</v>
      </c>
    </row>
    <row r="29" spans="1:8" x14ac:dyDescent="0.25">
      <c r="D29" t="s">
        <v>42</v>
      </c>
      <c r="E29">
        <f t="shared" ref="E29:E30" si="3">E17</f>
        <v>147</v>
      </c>
    </row>
    <row r="30" spans="1:8" x14ac:dyDescent="0.25">
      <c r="D30" t="s">
        <v>43</v>
      </c>
      <c r="E30">
        <f t="shared" si="3"/>
        <v>9</v>
      </c>
    </row>
    <row r="31" spans="1:8" x14ac:dyDescent="0.25">
      <c r="A31" t="s">
        <v>61</v>
      </c>
      <c r="B31" t="s">
        <v>55</v>
      </c>
      <c r="C3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D19" sqref="D19"/>
    </sheetView>
  </sheetViews>
  <sheetFormatPr defaultRowHeight="15" x14ac:dyDescent="0.25"/>
  <cols>
    <col min="4" max="4" width="32.28515625" customWidth="1"/>
  </cols>
  <sheetData>
    <row r="1" spans="1:4" x14ac:dyDescent="0.25">
      <c r="A1" t="s">
        <v>8</v>
      </c>
    </row>
    <row r="2" spans="1:4" x14ac:dyDescent="0.25">
      <c r="A2" t="s">
        <v>9</v>
      </c>
      <c r="B2" t="s">
        <v>10</v>
      </c>
      <c r="C2" t="s">
        <v>11</v>
      </c>
    </row>
    <row r="3" spans="1:4" x14ac:dyDescent="0.25">
      <c r="A3">
        <v>1</v>
      </c>
      <c r="B3" t="s">
        <v>4</v>
      </c>
      <c r="C3" t="s">
        <v>24</v>
      </c>
    </row>
    <row r="4" spans="1:4" x14ac:dyDescent="0.25">
      <c r="A4">
        <v>2</v>
      </c>
      <c r="B4" t="s">
        <v>12</v>
      </c>
    </row>
    <row r="5" spans="1:4" x14ac:dyDescent="0.25">
      <c r="A5">
        <v>3</v>
      </c>
      <c r="B5" t="s">
        <v>13</v>
      </c>
    </row>
    <row r="6" spans="1:4" x14ac:dyDescent="0.25">
      <c r="A6">
        <v>4</v>
      </c>
      <c r="B6" t="s">
        <v>14</v>
      </c>
      <c r="D6" t="s">
        <v>15</v>
      </c>
    </row>
    <row r="7" spans="1:4" x14ac:dyDescent="0.25">
      <c r="A7">
        <v>5</v>
      </c>
      <c r="B7" t="s">
        <v>16</v>
      </c>
      <c r="D7" t="s">
        <v>18</v>
      </c>
    </row>
    <row r="8" spans="1:4" x14ac:dyDescent="0.25">
      <c r="A8">
        <v>6</v>
      </c>
      <c r="B8" t="s">
        <v>17</v>
      </c>
      <c r="D8" t="s">
        <v>18</v>
      </c>
    </row>
    <row r="9" spans="1:4" x14ac:dyDescent="0.25">
      <c r="A9">
        <v>7</v>
      </c>
      <c r="B9" t="s">
        <v>19</v>
      </c>
      <c r="D9" t="s">
        <v>20</v>
      </c>
    </row>
    <row r="10" spans="1:4" x14ac:dyDescent="0.25">
      <c r="A10">
        <v>8</v>
      </c>
      <c r="B10" t="s">
        <v>21</v>
      </c>
      <c r="D10" t="s">
        <v>22</v>
      </c>
    </row>
    <row r="11" spans="1:4" x14ac:dyDescent="0.25">
      <c r="A11">
        <v>9</v>
      </c>
      <c r="B11" t="s">
        <v>23</v>
      </c>
      <c r="D11" t="s">
        <v>18</v>
      </c>
    </row>
    <row r="12" spans="1:4" x14ac:dyDescent="0.25">
      <c r="A12">
        <v>10</v>
      </c>
      <c r="B12" t="s">
        <v>12</v>
      </c>
    </row>
    <row r="14" spans="1:4" x14ac:dyDescent="0.25">
      <c r="A14" t="s">
        <v>25</v>
      </c>
    </row>
    <row r="15" spans="1:4" x14ac:dyDescent="0.25">
      <c r="A15" t="s">
        <v>9</v>
      </c>
      <c r="B15" t="s">
        <v>10</v>
      </c>
      <c r="C15" t="s">
        <v>11</v>
      </c>
      <c r="D15" t="s">
        <v>36</v>
      </c>
    </row>
    <row r="16" spans="1:4" x14ac:dyDescent="0.25">
      <c r="A16">
        <v>1</v>
      </c>
      <c r="B16" t="s">
        <v>26</v>
      </c>
      <c r="D16" t="s">
        <v>15</v>
      </c>
    </row>
    <row r="17" spans="1:4" x14ac:dyDescent="0.25">
      <c r="A17">
        <v>2</v>
      </c>
      <c r="B17" t="s">
        <v>12</v>
      </c>
    </row>
    <row r="18" spans="1:4" x14ac:dyDescent="0.25">
      <c r="A18">
        <v>3</v>
      </c>
      <c r="B18" t="s">
        <v>27</v>
      </c>
      <c r="D18" t="s">
        <v>37</v>
      </c>
    </row>
    <row r="19" spans="1:4" x14ac:dyDescent="0.25">
      <c r="A19">
        <v>4</v>
      </c>
      <c r="B19" t="s">
        <v>12</v>
      </c>
    </row>
    <row r="20" spans="1:4" x14ac:dyDescent="0.25">
      <c r="A20">
        <v>5</v>
      </c>
      <c r="B20" t="s">
        <v>28</v>
      </c>
    </row>
    <row r="21" spans="1:4" x14ac:dyDescent="0.25">
      <c r="A21">
        <v>6</v>
      </c>
      <c r="B21" t="s">
        <v>12</v>
      </c>
    </row>
    <row r="22" spans="1:4" x14ac:dyDescent="0.25">
      <c r="A22">
        <v>7</v>
      </c>
      <c r="B22" t="s">
        <v>29</v>
      </c>
    </row>
    <row r="23" spans="1:4" x14ac:dyDescent="0.25">
      <c r="A23">
        <v>8</v>
      </c>
      <c r="B23" t="s">
        <v>12</v>
      </c>
    </row>
    <row r="24" spans="1:4" x14ac:dyDescent="0.25">
      <c r="A24">
        <v>9</v>
      </c>
      <c r="B24" t="s">
        <v>30</v>
      </c>
    </row>
    <row r="25" spans="1:4" x14ac:dyDescent="0.25">
      <c r="A25">
        <v>10</v>
      </c>
      <c r="B25" t="s">
        <v>12</v>
      </c>
    </row>
    <row r="26" spans="1:4" x14ac:dyDescent="0.25">
      <c r="A26">
        <v>11</v>
      </c>
      <c r="B26" t="s">
        <v>31</v>
      </c>
    </row>
    <row r="27" spans="1:4" x14ac:dyDescent="0.25">
      <c r="A27">
        <v>12</v>
      </c>
      <c r="B27" t="s">
        <v>12</v>
      </c>
    </row>
    <row r="28" spans="1:4" x14ac:dyDescent="0.25">
      <c r="A28">
        <v>13</v>
      </c>
      <c r="B28" t="s">
        <v>32</v>
      </c>
    </row>
    <row r="29" spans="1:4" x14ac:dyDescent="0.25">
      <c r="A29">
        <v>14</v>
      </c>
      <c r="B29" t="s">
        <v>12</v>
      </c>
    </row>
    <row r="30" spans="1:4" x14ac:dyDescent="0.25">
      <c r="A30">
        <v>15</v>
      </c>
      <c r="B30" t="s">
        <v>33</v>
      </c>
    </row>
    <row r="31" spans="1:4" x14ac:dyDescent="0.25">
      <c r="A31">
        <v>16</v>
      </c>
      <c r="B31" t="s">
        <v>12</v>
      </c>
    </row>
    <row r="32" spans="1:4" x14ac:dyDescent="0.25">
      <c r="A32">
        <v>17</v>
      </c>
      <c r="B32" t="s">
        <v>4</v>
      </c>
      <c r="C32" t="s">
        <v>38</v>
      </c>
    </row>
    <row r="33" spans="1:4" x14ac:dyDescent="0.25">
      <c r="A33">
        <v>18</v>
      </c>
      <c r="B33" t="s">
        <v>34</v>
      </c>
    </row>
    <row r="34" spans="1:4" x14ac:dyDescent="0.25">
      <c r="A34">
        <v>19</v>
      </c>
      <c r="B34" t="s">
        <v>12</v>
      </c>
    </row>
    <row r="35" spans="1:4" ht="45" x14ac:dyDescent="0.25">
      <c r="A35">
        <v>20</v>
      </c>
      <c r="B35" t="s">
        <v>35</v>
      </c>
      <c r="D35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I39" sqref="I39"/>
    </sheetView>
  </sheetViews>
  <sheetFormatPr defaultRowHeight="15" x14ac:dyDescent="0.25"/>
  <cols>
    <col min="1" max="1" width="18.7109375" bestFit="1" customWidth="1"/>
    <col min="2" max="2" width="14.5703125" bestFit="1" customWidth="1"/>
    <col min="3" max="3" width="13.5703125" bestFit="1" customWidth="1"/>
    <col min="4" max="4" width="7.85546875" bestFit="1" customWidth="1"/>
    <col min="5" max="5" width="12.5703125" bestFit="1" customWidth="1"/>
    <col min="6" max="6" width="12.140625" bestFit="1" customWidth="1"/>
    <col min="7" max="7" width="16.28515625" bestFit="1" customWidth="1"/>
    <col min="9" max="9" width="14.85546875" bestFit="1" customWidth="1"/>
  </cols>
  <sheetData>
    <row r="1" spans="1:7" x14ac:dyDescent="0.25">
      <c r="C1" t="s">
        <v>0</v>
      </c>
      <c r="F1">
        <f>SUM(F3:F30)</f>
        <v>1987.6000000000001</v>
      </c>
      <c r="G1" t="s">
        <v>7</v>
      </c>
    </row>
    <row r="2" spans="1:7" x14ac:dyDescent="0.25">
      <c r="B2" t="s">
        <v>5</v>
      </c>
      <c r="C2" t="s">
        <v>1</v>
      </c>
      <c r="D2" t="s">
        <v>2</v>
      </c>
      <c r="E2" t="s">
        <v>3</v>
      </c>
      <c r="F2" t="s">
        <v>6</v>
      </c>
    </row>
    <row r="3" spans="1:7" x14ac:dyDescent="0.25">
      <c r="A3" t="s">
        <v>159</v>
      </c>
      <c r="B3" t="s">
        <v>65</v>
      </c>
      <c r="C3" t="s">
        <v>47</v>
      </c>
      <c r="D3">
        <v>5</v>
      </c>
      <c r="E3">
        <v>10</v>
      </c>
      <c r="F3">
        <f t="shared" ref="F3:F19" si="0">D3*E3</f>
        <v>50</v>
      </c>
    </row>
    <row r="4" spans="1:7" x14ac:dyDescent="0.25">
      <c r="A4" t="s">
        <v>159</v>
      </c>
      <c r="B4" t="s">
        <v>65</v>
      </c>
      <c r="C4" t="s">
        <v>55</v>
      </c>
      <c r="D4">
        <v>5</v>
      </c>
      <c r="E4">
        <v>10</v>
      </c>
      <c r="F4">
        <f t="shared" si="0"/>
        <v>50</v>
      </c>
    </row>
    <row r="5" spans="1:7" x14ac:dyDescent="0.25">
      <c r="A5" t="s">
        <v>160</v>
      </c>
      <c r="B5" t="s">
        <v>65</v>
      </c>
      <c r="C5" t="s">
        <v>47</v>
      </c>
      <c r="D5">
        <v>5</v>
      </c>
      <c r="E5">
        <v>10</v>
      </c>
      <c r="F5">
        <f t="shared" ref="F5:F10" si="1">D5*E5</f>
        <v>50</v>
      </c>
    </row>
    <row r="6" spans="1:7" x14ac:dyDescent="0.25">
      <c r="A6" t="s">
        <v>160</v>
      </c>
      <c r="B6" t="s">
        <v>65</v>
      </c>
      <c r="C6" t="s">
        <v>55</v>
      </c>
      <c r="D6">
        <v>5</v>
      </c>
      <c r="E6">
        <v>10</v>
      </c>
      <c r="F6">
        <f t="shared" si="1"/>
        <v>50</v>
      </c>
    </row>
    <row r="7" spans="1:7" x14ac:dyDescent="0.25">
      <c r="A7" t="s">
        <v>161</v>
      </c>
      <c r="B7" t="s">
        <v>65</v>
      </c>
      <c r="C7" t="s">
        <v>47</v>
      </c>
      <c r="D7">
        <v>5</v>
      </c>
      <c r="E7">
        <v>10</v>
      </c>
      <c r="F7">
        <f t="shared" si="1"/>
        <v>50</v>
      </c>
    </row>
    <row r="8" spans="1:7" x14ac:dyDescent="0.25">
      <c r="A8" t="s">
        <v>161</v>
      </c>
      <c r="B8" t="s">
        <v>65</v>
      </c>
      <c r="C8" t="s">
        <v>55</v>
      </c>
      <c r="D8">
        <v>5</v>
      </c>
      <c r="E8">
        <v>10</v>
      </c>
      <c r="F8">
        <f t="shared" si="1"/>
        <v>50</v>
      </c>
    </row>
    <row r="9" spans="1:7" x14ac:dyDescent="0.25">
      <c r="A9" t="s">
        <v>163</v>
      </c>
      <c r="B9" t="s">
        <v>66</v>
      </c>
      <c r="C9" t="s">
        <v>47</v>
      </c>
      <c r="D9">
        <v>5</v>
      </c>
      <c r="E9">
        <v>10</v>
      </c>
      <c r="F9">
        <f t="shared" si="1"/>
        <v>50</v>
      </c>
    </row>
    <row r="10" spans="1:7" x14ac:dyDescent="0.25">
      <c r="A10" t="s">
        <v>164</v>
      </c>
      <c r="B10" t="s">
        <v>66</v>
      </c>
      <c r="C10" t="s">
        <v>55</v>
      </c>
      <c r="F10">
        <f t="shared" si="1"/>
        <v>0</v>
      </c>
    </row>
    <row r="11" spans="1:7" x14ac:dyDescent="0.25">
      <c r="A11" t="s">
        <v>162</v>
      </c>
      <c r="B11" t="s">
        <v>66</v>
      </c>
      <c r="C11" t="s">
        <v>63</v>
      </c>
      <c r="D11">
        <v>5</v>
      </c>
      <c r="E11">
        <v>10</v>
      </c>
      <c r="F11">
        <f t="shared" ref="F11:F14" si="2">D11*E11</f>
        <v>50</v>
      </c>
    </row>
    <row r="12" spans="1:7" x14ac:dyDescent="0.25">
      <c r="A12" t="s">
        <v>162</v>
      </c>
      <c r="B12" t="s">
        <v>66</v>
      </c>
      <c r="C12" t="s">
        <v>64</v>
      </c>
      <c r="D12">
        <v>5</v>
      </c>
      <c r="E12">
        <v>10</v>
      </c>
      <c r="F12">
        <f t="shared" si="2"/>
        <v>50</v>
      </c>
    </row>
    <row r="13" spans="1:7" x14ac:dyDescent="0.25">
      <c r="A13" t="s">
        <v>162</v>
      </c>
      <c r="B13" t="s">
        <v>66</v>
      </c>
      <c r="C13" t="s">
        <v>63</v>
      </c>
      <c r="D13">
        <v>5</v>
      </c>
      <c r="E13">
        <v>10</v>
      </c>
      <c r="F13">
        <f t="shared" si="2"/>
        <v>50</v>
      </c>
    </row>
    <row r="14" spans="1:7" x14ac:dyDescent="0.25">
      <c r="A14" t="s">
        <v>162</v>
      </c>
      <c r="B14" t="s">
        <v>66</v>
      </c>
      <c r="C14" t="s">
        <v>64</v>
      </c>
      <c r="D14">
        <v>5</v>
      </c>
      <c r="E14">
        <v>10</v>
      </c>
      <c r="F14">
        <f t="shared" si="2"/>
        <v>50</v>
      </c>
    </row>
    <row r="15" spans="1:7" x14ac:dyDescent="0.25">
      <c r="B15" t="s">
        <v>46</v>
      </c>
      <c r="C15" t="s">
        <v>38</v>
      </c>
      <c r="D15">
        <v>5</v>
      </c>
      <c r="E15">
        <v>1</v>
      </c>
      <c r="F15">
        <f t="shared" si="0"/>
        <v>5</v>
      </c>
    </row>
    <row r="16" spans="1:7" x14ac:dyDescent="0.25">
      <c r="B16" t="s">
        <v>46</v>
      </c>
      <c r="C16" t="s">
        <v>47</v>
      </c>
      <c r="D16">
        <v>5</v>
      </c>
      <c r="E16">
        <v>8</v>
      </c>
      <c r="F16">
        <f t="shared" si="0"/>
        <v>40</v>
      </c>
    </row>
    <row r="17" spans="2:12" x14ac:dyDescent="0.25">
      <c r="B17" t="s">
        <v>46</v>
      </c>
      <c r="C17" t="s">
        <v>55</v>
      </c>
      <c r="D17">
        <v>5</v>
      </c>
      <c r="E17">
        <v>10</v>
      </c>
      <c r="F17">
        <f t="shared" si="0"/>
        <v>50</v>
      </c>
    </row>
    <row r="18" spans="2:12" x14ac:dyDescent="0.25">
      <c r="B18" t="s">
        <v>67</v>
      </c>
      <c r="C18" t="s">
        <v>42</v>
      </c>
      <c r="D18">
        <v>5</v>
      </c>
      <c r="E18">
        <v>80</v>
      </c>
      <c r="F18">
        <f t="shared" si="0"/>
        <v>400</v>
      </c>
    </row>
    <row r="19" spans="2:12" x14ac:dyDescent="0.25">
      <c r="B19" t="s">
        <v>69</v>
      </c>
      <c r="C19" t="s">
        <v>68</v>
      </c>
      <c r="D19">
        <v>3.3</v>
      </c>
      <c r="E19">
        <v>100</v>
      </c>
      <c r="F19">
        <f t="shared" si="0"/>
        <v>330</v>
      </c>
    </row>
    <row r="20" spans="2:12" x14ac:dyDescent="0.25">
      <c r="B20" t="s">
        <v>40</v>
      </c>
      <c r="C20" t="s">
        <v>41</v>
      </c>
      <c r="D20">
        <v>3.3</v>
      </c>
      <c r="E20">
        <v>44</v>
      </c>
      <c r="F20">
        <f>D20*E20</f>
        <v>145.19999999999999</v>
      </c>
      <c r="G20" t="s">
        <v>77</v>
      </c>
    </row>
    <row r="21" spans="2:12" x14ac:dyDescent="0.25">
      <c r="B21" t="s">
        <v>40</v>
      </c>
      <c r="C21" t="s">
        <v>42</v>
      </c>
      <c r="D21">
        <v>3.3</v>
      </c>
      <c r="E21">
        <v>9</v>
      </c>
      <c r="F21">
        <f t="shared" ref="F21:F26" si="3">D21*E21</f>
        <v>29.7</v>
      </c>
      <c r="G21" t="s">
        <v>76</v>
      </c>
    </row>
    <row r="22" spans="2:12" x14ac:dyDescent="0.25">
      <c r="B22" t="s">
        <v>40</v>
      </c>
      <c r="C22" t="s">
        <v>71</v>
      </c>
      <c r="D22">
        <v>1.8</v>
      </c>
      <c r="E22">
        <v>9</v>
      </c>
      <c r="F22">
        <f t="shared" si="3"/>
        <v>16.2</v>
      </c>
      <c r="G22" t="s">
        <v>78</v>
      </c>
    </row>
    <row r="23" spans="2:12" x14ac:dyDescent="0.25">
      <c r="B23" t="s">
        <v>75</v>
      </c>
      <c r="C23" t="s">
        <v>41</v>
      </c>
      <c r="D23">
        <v>3.3</v>
      </c>
      <c r="E23">
        <f>85/2</f>
        <v>42.5</v>
      </c>
      <c r="F23">
        <f t="shared" si="3"/>
        <v>140.25</v>
      </c>
      <c r="G23" t="s">
        <v>79</v>
      </c>
      <c r="H23" t="s">
        <v>83</v>
      </c>
    </row>
    <row r="24" spans="2:12" x14ac:dyDescent="0.25">
      <c r="B24" t="s">
        <v>75</v>
      </c>
      <c r="C24" t="s">
        <v>71</v>
      </c>
      <c r="D24">
        <v>1.8</v>
      </c>
      <c r="E24">
        <v>60</v>
      </c>
      <c r="F24">
        <f t="shared" si="3"/>
        <v>108</v>
      </c>
      <c r="G24" t="s">
        <v>80</v>
      </c>
      <c r="H24" t="s">
        <v>84</v>
      </c>
    </row>
    <row r="25" spans="2:12" x14ac:dyDescent="0.25">
      <c r="B25" t="s">
        <v>75</v>
      </c>
      <c r="C25" t="s">
        <v>41</v>
      </c>
      <c r="D25">
        <v>3.3</v>
      </c>
      <c r="E25">
        <f>85/2</f>
        <v>42.5</v>
      </c>
      <c r="F25">
        <f t="shared" si="3"/>
        <v>140.25</v>
      </c>
      <c r="G25" t="s">
        <v>81</v>
      </c>
      <c r="H25" t="s">
        <v>85</v>
      </c>
    </row>
    <row r="26" spans="2:12" x14ac:dyDescent="0.25">
      <c r="B26" t="s">
        <v>75</v>
      </c>
      <c r="C26" t="s">
        <v>42</v>
      </c>
      <c r="D26">
        <v>3.3</v>
      </c>
      <c r="E26">
        <v>10</v>
      </c>
      <c r="F26">
        <f t="shared" si="3"/>
        <v>33</v>
      </c>
      <c r="G26" t="s">
        <v>82</v>
      </c>
      <c r="H26" t="s">
        <v>86</v>
      </c>
    </row>
    <row r="30" spans="2:12" x14ac:dyDescent="0.25">
      <c r="B30" t="s">
        <v>48</v>
      </c>
      <c r="C30" t="s">
        <v>1</v>
      </c>
      <c r="D30" t="s">
        <v>52</v>
      </c>
      <c r="E30" t="s">
        <v>53</v>
      </c>
      <c r="F30" t="s">
        <v>70</v>
      </c>
      <c r="G30" t="s">
        <v>3</v>
      </c>
      <c r="H30" t="s">
        <v>56</v>
      </c>
      <c r="I30" t="s">
        <v>57</v>
      </c>
      <c r="J30" t="s">
        <v>58</v>
      </c>
      <c r="L30" t="s">
        <v>166</v>
      </c>
    </row>
    <row r="31" spans="2:12" x14ac:dyDescent="0.25">
      <c r="B31" t="s">
        <v>51</v>
      </c>
      <c r="C31" t="s">
        <v>47</v>
      </c>
      <c r="D31">
        <v>12</v>
      </c>
      <c r="E31">
        <v>5</v>
      </c>
      <c r="F31">
        <v>150</v>
      </c>
      <c r="G31">
        <f>SUMIF($C$3:$C$28,C31,$E$3:$E$28)</f>
        <v>48</v>
      </c>
      <c r="H31">
        <f t="shared" ref="H31:H39" si="4">(D31-E31)*G31</f>
        <v>336</v>
      </c>
      <c r="I31">
        <v>44.4</v>
      </c>
      <c r="J31">
        <f t="shared" ref="J31:J32" si="5">H31*I31/1000</f>
        <v>14.9184</v>
      </c>
    </row>
    <row r="32" spans="2:12" x14ac:dyDescent="0.25">
      <c r="B32" t="s">
        <v>51</v>
      </c>
      <c r="C32" t="s">
        <v>55</v>
      </c>
      <c r="D32">
        <v>12</v>
      </c>
      <c r="E32">
        <v>5</v>
      </c>
      <c r="F32">
        <v>150</v>
      </c>
      <c r="G32">
        <f>SUMIF($C$3:$C$28,C32,$E$3:$E$28)</f>
        <v>40</v>
      </c>
      <c r="H32">
        <f t="shared" si="4"/>
        <v>280</v>
      </c>
      <c r="I32">
        <v>44.4</v>
      </c>
      <c r="J32">
        <f t="shared" si="5"/>
        <v>12.432</v>
      </c>
    </row>
    <row r="33" spans="2:13" x14ac:dyDescent="0.25">
      <c r="B33" t="s">
        <v>51</v>
      </c>
      <c r="C33" t="s">
        <v>63</v>
      </c>
      <c r="D33">
        <v>12</v>
      </c>
      <c r="E33">
        <v>10</v>
      </c>
      <c r="F33">
        <v>150</v>
      </c>
      <c r="G33">
        <f>SUMIF($C$3:$C$28,C33,$E$3:$E$28)</f>
        <v>20</v>
      </c>
      <c r="H33">
        <f t="shared" si="4"/>
        <v>40</v>
      </c>
      <c r="I33">
        <v>45.4</v>
      </c>
      <c r="J33">
        <f t="shared" ref="J33:J37" si="6">H33*I33/1000</f>
        <v>1.8160000000000001</v>
      </c>
    </row>
    <row r="34" spans="2:13" x14ac:dyDescent="0.25">
      <c r="B34" t="s">
        <v>51</v>
      </c>
      <c r="C34" t="s">
        <v>64</v>
      </c>
      <c r="D34">
        <v>12</v>
      </c>
      <c r="E34">
        <v>10</v>
      </c>
      <c r="F34">
        <v>150</v>
      </c>
      <c r="G34">
        <f>SUMIF($C$3:$C$28,C34,$E$3:$E$28)</f>
        <v>20</v>
      </c>
      <c r="H34">
        <f t="shared" si="4"/>
        <v>40</v>
      </c>
      <c r="I34">
        <v>46.4</v>
      </c>
      <c r="J34">
        <f t="shared" si="6"/>
        <v>1.8560000000000001</v>
      </c>
    </row>
    <row r="35" spans="2:13" x14ac:dyDescent="0.25">
      <c r="D35">
        <v>5</v>
      </c>
      <c r="E35">
        <v>5</v>
      </c>
      <c r="F35">
        <v>500</v>
      </c>
      <c r="G35">
        <f>SUMIF($C$3:$C$28,C35,$E$3:$E$28)+G39</f>
        <v>69</v>
      </c>
      <c r="H35">
        <f t="shared" si="4"/>
        <v>0</v>
      </c>
      <c r="I35">
        <v>29.7</v>
      </c>
      <c r="J35">
        <f t="shared" si="6"/>
        <v>0</v>
      </c>
    </row>
    <row r="36" spans="2:13" x14ac:dyDescent="0.25">
      <c r="B36" t="s">
        <v>174</v>
      </c>
      <c r="C36" t="s">
        <v>38</v>
      </c>
      <c r="D36">
        <v>5.5</v>
      </c>
      <c r="E36">
        <v>5</v>
      </c>
      <c r="F36">
        <v>500</v>
      </c>
      <c r="G36">
        <f>SUMIF($C$3:$C$28,C36,$E$3:$E$28)</f>
        <v>1</v>
      </c>
      <c r="H36">
        <f t="shared" si="4"/>
        <v>0.5</v>
      </c>
      <c r="I36">
        <v>41</v>
      </c>
      <c r="J36">
        <f t="shared" si="6"/>
        <v>2.0500000000000001E-2</v>
      </c>
    </row>
    <row r="37" spans="2:13" x14ac:dyDescent="0.25">
      <c r="B37" t="s">
        <v>174</v>
      </c>
      <c r="C37" t="s">
        <v>42</v>
      </c>
      <c r="D37">
        <v>5</v>
      </c>
      <c r="E37">
        <v>3.3</v>
      </c>
      <c r="F37">
        <v>500</v>
      </c>
      <c r="G37">
        <f>SUMIF($C$3:$C$28,C37,$E$3:$E$28)</f>
        <v>99</v>
      </c>
      <c r="H37">
        <f t="shared" si="4"/>
        <v>168.3</v>
      </c>
      <c r="I37">
        <v>41</v>
      </c>
      <c r="J37">
        <f t="shared" si="6"/>
        <v>6.9003000000000005</v>
      </c>
    </row>
    <row r="38" spans="2:13" x14ac:dyDescent="0.25">
      <c r="B38" t="s">
        <v>174</v>
      </c>
      <c r="C38" t="s">
        <v>41</v>
      </c>
      <c r="D38">
        <v>5</v>
      </c>
      <c r="E38">
        <v>3.3</v>
      </c>
      <c r="F38">
        <v>500</v>
      </c>
      <c r="G38">
        <f>SUMIF($C$3:$C$28,C38,$E$3:$E$28)</f>
        <v>129</v>
      </c>
      <c r="H38">
        <f t="shared" si="4"/>
        <v>219.3</v>
      </c>
      <c r="I38">
        <v>41</v>
      </c>
      <c r="J38">
        <f>H38*I38/1000</f>
        <v>8.9913000000000007</v>
      </c>
    </row>
    <row r="39" spans="2:13" x14ac:dyDescent="0.25">
      <c r="B39" t="s">
        <v>72</v>
      </c>
      <c r="C39" t="s">
        <v>71</v>
      </c>
      <c r="D39">
        <v>3.3</v>
      </c>
      <c r="E39">
        <v>1.8</v>
      </c>
      <c r="F39">
        <v>200</v>
      </c>
      <c r="G39">
        <f>SUMIF($C$3:$C$28,C39,$E$3:$E$28)</f>
        <v>69</v>
      </c>
      <c r="H39">
        <f t="shared" si="4"/>
        <v>103.49999999999999</v>
      </c>
      <c r="I39">
        <v>185.6</v>
      </c>
      <c r="J39">
        <f>H39*I39/1000</f>
        <v>19.209599999999998</v>
      </c>
      <c r="L39">
        <v>54.5</v>
      </c>
      <c r="M39">
        <f>H39*L39/1000</f>
        <v>5.6407499999999988</v>
      </c>
    </row>
    <row r="41" spans="2:13" x14ac:dyDescent="0.25">
      <c r="C41" t="s">
        <v>48</v>
      </c>
      <c r="D41" t="s">
        <v>54</v>
      </c>
    </row>
    <row r="42" spans="2:13" x14ac:dyDescent="0.25">
      <c r="B42" t="s">
        <v>165</v>
      </c>
      <c r="C42" t="s">
        <v>89</v>
      </c>
      <c r="D42">
        <f>E15</f>
        <v>1</v>
      </c>
      <c r="E42">
        <f>SUM(D42:D45)</f>
        <v>298</v>
      </c>
      <c r="F42">
        <f>D42*5</f>
        <v>5</v>
      </c>
      <c r="G42">
        <f>E42*9</f>
        <v>2682</v>
      </c>
      <c r="I42" t="s">
        <v>87</v>
      </c>
      <c r="J42" t="s">
        <v>88</v>
      </c>
    </row>
    <row r="43" spans="2:13" x14ac:dyDescent="0.25">
      <c r="C43" t="s">
        <v>41</v>
      </c>
      <c r="D43">
        <f t="shared" ref="D43:D45" si="7">SUMIF($C$31:$C$39,C43,$G$31:$G$39)</f>
        <v>129</v>
      </c>
      <c r="F43">
        <f>D43*3.3</f>
        <v>425.7</v>
      </c>
    </row>
    <row r="44" spans="2:13" x14ac:dyDescent="0.25">
      <c r="C44" t="s">
        <v>42</v>
      </c>
      <c r="D44">
        <f t="shared" si="7"/>
        <v>99</v>
      </c>
      <c r="F44">
        <f>D44*3.3</f>
        <v>326.7</v>
      </c>
    </row>
    <row r="45" spans="2:13" x14ac:dyDescent="0.25">
      <c r="C45" t="s">
        <v>71</v>
      </c>
      <c r="D45">
        <f t="shared" si="7"/>
        <v>69</v>
      </c>
      <c r="F45">
        <f>D45*1.8</f>
        <v>124.2</v>
      </c>
    </row>
    <row r="47" spans="2:13" x14ac:dyDescent="0.25">
      <c r="B47" t="s">
        <v>74</v>
      </c>
      <c r="C47" t="s">
        <v>47</v>
      </c>
      <c r="D47">
        <f>G31</f>
        <v>48</v>
      </c>
      <c r="F47">
        <f>D47*12</f>
        <v>576</v>
      </c>
    </row>
    <row r="48" spans="2:13" x14ac:dyDescent="0.25">
      <c r="C48" t="s">
        <v>63</v>
      </c>
      <c r="D48">
        <f>G33</f>
        <v>20</v>
      </c>
      <c r="F48">
        <f>D48*12</f>
        <v>240</v>
      </c>
    </row>
    <row r="50" spans="2:5" x14ac:dyDescent="0.25">
      <c r="B50" t="s">
        <v>73</v>
      </c>
      <c r="C50" t="s">
        <v>55</v>
      </c>
      <c r="D50">
        <f>G32</f>
        <v>40</v>
      </c>
      <c r="E50">
        <f>SUM(D50:D51)</f>
        <v>60</v>
      </c>
    </row>
    <row r="51" spans="2:5" x14ac:dyDescent="0.25">
      <c r="C51" t="s">
        <v>64</v>
      </c>
      <c r="D51">
        <f>G34</f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I10" sqref="I10"/>
    </sheetView>
  </sheetViews>
  <sheetFormatPr defaultRowHeight="15" x14ac:dyDescent="0.25"/>
  <cols>
    <col min="1" max="1" width="13.140625" bestFit="1" customWidth="1"/>
    <col min="2" max="2" width="23.42578125" bestFit="1" customWidth="1"/>
    <col min="3" max="3" width="7.140625" bestFit="1" customWidth="1"/>
    <col min="4" max="4" width="13.5703125" bestFit="1" customWidth="1"/>
  </cols>
  <sheetData>
    <row r="1" spans="1:5" x14ac:dyDescent="0.25">
      <c r="A1" t="s">
        <v>90</v>
      </c>
      <c r="B1" t="s">
        <v>114</v>
      </c>
      <c r="C1" t="s">
        <v>115</v>
      </c>
      <c r="D1" t="s">
        <v>107</v>
      </c>
    </row>
    <row r="2" spans="1:5" x14ac:dyDescent="0.25">
      <c r="A2" t="s">
        <v>91</v>
      </c>
      <c r="B2" t="s">
        <v>112</v>
      </c>
    </row>
    <row r="3" spans="1:5" x14ac:dyDescent="0.25">
      <c r="A3" t="s">
        <v>92</v>
      </c>
      <c r="B3" t="s">
        <v>113</v>
      </c>
      <c r="D3" t="s">
        <v>129</v>
      </c>
    </row>
    <row r="4" spans="1:5" x14ac:dyDescent="0.25">
      <c r="A4" t="s">
        <v>93</v>
      </c>
      <c r="B4" t="s">
        <v>116</v>
      </c>
      <c r="C4" t="s">
        <v>103</v>
      </c>
      <c r="D4" t="s">
        <v>108</v>
      </c>
    </row>
    <row r="5" spans="1:5" x14ac:dyDescent="0.25">
      <c r="A5" t="s">
        <v>94</v>
      </c>
      <c r="B5" t="s">
        <v>117</v>
      </c>
      <c r="C5" t="s">
        <v>104</v>
      </c>
      <c r="D5" t="s">
        <v>109</v>
      </c>
    </row>
    <row r="6" spans="1:5" x14ac:dyDescent="0.25">
      <c r="A6" t="s">
        <v>95</v>
      </c>
      <c r="B6" t="s">
        <v>118</v>
      </c>
      <c r="D6" t="s">
        <v>130</v>
      </c>
    </row>
    <row r="7" spans="1:5" x14ac:dyDescent="0.25">
      <c r="A7" t="s">
        <v>96</v>
      </c>
      <c r="B7" t="s">
        <v>119</v>
      </c>
      <c r="D7" t="s">
        <v>131</v>
      </c>
    </row>
    <row r="8" spans="1:5" x14ac:dyDescent="0.25">
      <c r="A8" t="s">
        <v>97</v>
      </c>
      <c r="B8" t="s">
        <v>120</v>
      </c>
    </row>
    <row r="9" spans="1:5" x14ac:dyDescent="0.25">
      <c r="A9" t="s">
        <v>98</v>
      </c>
      <c r="B9" t="s">
        <v>121</v>
      </c>
      <c r="D9" t="s">
        <v>128</v>
      </c>
    </row>
    <row r="10" spans="1:5" x14ac:dyDescent="0.25">
      <c r="A10" t="s">
        <v>99</v>
      </c>
      <c r="B10" t="s">
        <v>122</v>
      </c>
      <c r="C10" t="s">
        <v>105</v>
      </c>
      <c r="D10" t="s">
        <v>110</v>
      </c>
    </row>
    <row r="11" spans="1:5" x14ac:dyDescent="0.25">
      <c r="A11" t="s">
        <v>100</v>
      </c>
      <c r="B11" t="s">
        <v>123</v>
      </c>
      <c r="C11" t="s">
        <v>106</v>
      </c>
      <c r="D11" t="s">
        <v>111</v>
      </c>
      <c r="E11" t="s">
        <v>132</v>
      </c>
    </row>
    <row r="12" spans="1:5" x14ac:dyDescent="0.25">
      <c r="A12" t="s">
        <v>101</v>
      </c>
      <c r="B12" t="s">
        <v>124</v>
      </c>
      <c r="D12" t="s">
        <v>126</v>
      </c>
    </row>
    <row r="13" spans="1:5" x14ac:dyDescent="0.25">
      <c r="A13" t="s">
        <v>102</v>
      </c>
      <c r="B13" t="s">
        <v>125</v>
      </c>
      <c r="D13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opLeftCell="A28" workbookViewId="0">
      <selection activeCell="B60" sqref="B60"/>
    </sheetView>
  </sheetViews>
  <sheetFormatPr defaultRowHeight="15" x14ac:dyDescent="0.25"/>
  <cols>
    <col min="5" max="5" width="12" bestFit="1" customWidth="1"/>
    <col min="8" max="8" width="12" bestFit="1" customWidth="1"/>
  </cols>
  <sheetData>
    <row r="1" spans="1:7" x14ac:dyDescent="0.25">
      <c r="A1" s="3" t="s">
        <v>146</v>
      </c>
      <c r="B1" s="3"/>
      <c r="C1" s="3"/>
      <c r="D1" s="3"/>
      <c r="E1" s="3"/>
      <c r="F1" s="3"/>
      <c r="G1" s="3"/>
    </row>
    <row r="2" spans="1:7" x14ac:dyDescent="0.25">
      <c r="A2" t="s">
        <v>51</v>
      </c>
      <c r="D2" t="s">
        <v>133</v>
      </c>
      <c r="E2">
        <v>1.19</v>
      </c>
      <c r="F2" t="s">
        <v>134</v>
      </c>
    </row>
    <row r="3" spans="1:7" x14ac:dyDescent="0.25">
      <c r="A3" t="s">
        <v>135</v>
      </c>
      <c r="B3" t="s">
        <v>136</v>
      </c>
      <c r="D3" t="s">
        <v>137</v>
      </c>
      <c r="G3">
        <f>$E$2*(1+E6/E7)</f>
        <v>5.0456000000000003</v>
      </c>
    </row>
    <row r="4" spans="1:7" x14ac:dyDescent="0.25">
      <c r="A4" t="s">
        <v>138</v>
      </c>
      <c r="B4" t="s">
        <v>139</v>
      </c>
      <c r="D4" t="s">
        <v>140</v>
      </c>
      <c r="G4">
        <f>E2*(-E8/E9)</f>
        <v>-5.0217999999999998</v>
      </c>
    </row>
    <row r="6" spans="1:7" x14ac:dyDescent="0.25">
      <c r="D6" t="s">
        <v>141</v>
      </c>
      <c r="E6">
        <v>32400</v>
      </c>
      <c r="F6" t="s">
        <v>142</v>
      </c>
    </row>
    <row r="7" spans="1:7" x14ac:dyDescent="0.25">
      <c r="D7" t="s">
        <v>143</v>
      </c>
      <c r="E7">
        <v>10000</v>
      </c>
      <c r="F7" t="s">
        <v>142</v>
      </c>
    </row>
    <row r="8" spans="1:7" x14ac:dyDescent="0.25">
      <c r="D8" t="s">
        <v>144</v>
      </c>
      <c r="E8">
        <v>42200</v>
      </c>
      <c r="F8" t="s">
        <v>142</v>
      </c>
    </row>
    <row r="9" spans="1:7" x14ac:dyDescent="0.25">
      <c r="D9" t="s">
        <v>145</v>
      </c>
      <c r="E9">
        <v>10000</v>
      </c>
      <c r="F9" t="s">
        <v>142</v>
      </c>
    </row>
    <row r="11" spans="1:7" x14ac:dyDescent="0.25">
      <c r="A11" s="3" t="s">
        <v>147</v>
      </c>
      <c r="B11" s="3"/>
      <c r="C11" s="3"/>
      <c r="D11" s="3"/>
      <c r="E11" s="3"/>
      <c r="F11" s="3"/>
      <c r="G11" s="3"/>
    </row>
    <row r="12" spans="1:7" x14ac:dyDescent="0.25">
      <c r="A12" t="s">
        <v>51</v>
      </c>
      <c r="D12" t="s">
        <v>133</v>
      </c>
      <c r="E12">
        <v>1.19</v>
      </c>
      <c r="F12" t="s">
        <v>134</v>
      </c>
    </row>
    <row r="13" spans="1:7" x14ac:dyDescent="0.25">
      <c r="A13" t="s">
        <v>135</v>
      </c>
      <c r="B13" t="s">
        <v>136</v>
      </c>
      <c r="D13" t="s">
        <v>137</v>
      </c>
      <c r="G13">
        <f>$E$2*(1+E16/E17)</f>
        <v>10.115</v>
      </c>
    </row>
    <row r="14" spans="1:7" x14ac:dyDescent="0.25">
      <c r="A14" t="s">
        <v>138</v>
      </c>
      <c r="B14" t="s">
        <v>139</v>
      </c>
      <c r="D14" t="s">
        <v>140</v>
      </c>
      <c r="G14">
        <f>E12*(-E18/E19)</f>
        <v>-10.055499999999999</v>
      </c>
    </row>
    <row r="16" spans="1:7" x14ac:dyDescent="0.25">
      <c r="D16" t="s">
        <v>141</v>
      </c>
      <c r="E16">
        <v>75000</v>
      </c>
      <c r="F16" t="s">
        <v>142</v>
      </c>
    </row>
    <row r="17" spans="1:7" x14ac:dyDescent="0.25">
      <c r="D17" t="s">
        <v>143</v>
      </c>
      <c r="E17">
        <v>10000</v>
      </c>
      <c r="F17" t="s">
        <v>142</v>
      </c>
    </row>
    <row r="18" spans="1:7" x14ac:dyDescent="0.25">
      <c r="D18" t="s">
        <v>144</v>
      </c>
      <c r="E18">
        <v>84500</v>
      </c>
      <c r="F18" t="s">
        <v>142</v>
      </c>
    </row>
    <row r="19" spans="1:7" x14ac:dyDescent="0.25">
      <c r="D19" t="s">
        <v>145</v>
      </c>
      <c r="E19">
        <v>10000</v>
      </c>
      <c r="F19" t="s">
        <v>142</v>
      </c>
    </row>
    <row r="22" spans="1:7" x14ac:dyDescent="0.25">
      <c r="A22" s="3" t="s">
        <v>150</v>
      </c>
      <c r="B22" s="3"/>
      <c r="C22" s="3"/>
      <c r="D22" s="3"/>
      <c r="E22" s="3"/>
      <c r="F22" s="3"/>
      <c r="G22" s="3"/>
    </row>
    <row r="23" spans="1:7" x14ac:dyDescent="0.25">
      <c r="A23" t="s">
        <v>151</v>
      </c>
      <c r="D23" t="s">
        <v>154</v>
      </c>
      <c r="E23">
        <v>1.2130000000000001</v>
      </c>
      <c r="F23" t="s">
        <v>134</v>
      </c>
    </row>
    <row r="24" spans="1:7" x14ac:dyDescent="0.25">
      <c r="A24" t="s">
        <v>135</v>
      </c>
      <c r="B24" t="s">
        <v>153</v>
      </c>
      <c r="D24" t="s">
        <v>155</v>
      </c>
      <c r="G24">
        <f>E29/E30*E23+1</f>
        <v>12.027272727272729</v>
      </c>
    </row>
    <row r="25" spans="1:7" x14ac:dyDescent="0.25">
      <c r="A25" t="s">
        <v>152</v>
      </c>
      <c r="B25" t="s">
        <v>73</v>
      </c>
      <c r="D25" t="s">
        <v>158</v>
      </c>
      <c r="G25">
        <f>E31/(-E32)*E23</f>
        <v>-12.13</v>
      </c>
    </row>
    <row r="29" spans="1:7" x14ac:dyDescent="0.25">
      <c r="D29" t="s">
        <v>148</v>
      </c>
      <c r="E29">
        <v>1000000</v>
      </c>
      <c r="F29" t="s">
        <v>142</v>
      </c>
    </row>
    <row r="30" spans="1:7" x14ac:dyDescent="0.25">
      <c r="D30" t="s">
        <v>149</v>
      </c>
      <c r="E30">
        <v>110000</v>
      </c>
      <c r="F30" t="s">
        <v>142</v>
      </c>
    </row>
    <row r="31" spans="1:7" x14ac:dyDescent="0.25">
      <c r="D31" t="s">
        <v>156</v>
      </c>
      <c r="E31">
        <v>1000000</v>
      </c>
      <c r="F31" t="s">
        <v>142</v>
      </c>
    </row>
    <row r="32" spans="1:7" x14ac:dyDescent="0.25">
      <c r="D32" t="s">
        <v>157</v>
      </c>
      <c r="E32">
        <v>100000</v>
      </c>
      <c r="F32" t="s">
        <v>142</v>
      </c>
    </row>
    <row r="35" spans="1:9" x14ac:dyDescent="0.25">
      <c r="A35" t="s">
        <v>174</v>
      </c>
    </row>
    <row r="36" spans="1:9" x14ac:dyDescent="0.25">
      <c r="A36" t="s">
        <v>167</v>
      </c>
      <c r="B36">
        <v>5</v>
      </c>
      <c r="D36" t="s">
        <v>154</v>
      </c>
      <c r="E36">
        <v>0.65</v>
      </c>
      <c r="F36" t="s">
        <v>134</v>
      </c>
    </row>
    <row r="37" spans="1:9" x14ac:dyDescent="0.25">
      <c r="D37" t="s">
        <v>175</v>
      </c>
      <c r="G37">
        <f>E36*(1+E40/E41)</f>
        <v>4.9833333333333334</v>
      </c>
    </row>
    <row r="38" spans="1:9" x14ac:dyDescent="0.25">
      <c r="D38" t="s">
        <v>170</v>
      </c>
      <c r="E38">
        <f>G38</f>
        <v>1E-8</v>
      </c>
      <c r="F38" t="s">
        <v>171</v>
      </c>
      <c r="G38">
        <v>1E-8</v>
      </c>
    </row>
    <row r="40" spans="1:9" x14ac:dyDescent="0.25">
      <c r="C40" t="s">
        <v>169</v>
      </c>
      <c r="D40" t="s">
        <v>148</v>
      </c>
      <c r="E40">
        <v>1000000</v>
      </c>
      <c r="F40" t="s">
        <v>177</v>
      </c>
    </row>
    <row r="41" spans="1:9" x14ac:dyDescent="0.25">
      <c r="C41" t="s">
        <v>168</v>
      </c>
      <c r="D41" t="s">
        <v>149</v>
      </c>
      <c r="E41">
        <v>150000</v>
      </c>
      <c r="F41" t="s">
        <v>178</v>
      </c>
      <c r="G41" t="s">
        <v>172</v>
      </c>
      <c r="H41">
        <v>10</v>
      </c>
      <c r="I41" t="s">
        <v>173</v>
      </c>
    </row>
    <row r="42" spans="1:9" x14ac:dyDescent="0.25">
      <c r="D42" t="s">
        <v>176</v>
      </c>
      <c r="E42" s="2">
        <f>E40+E41</f>
        <v>1150000</v>
      </c>
      <c r="F42" s="2">
        <f>B36/(E38*100)</f>
        <v>5000000</v>
      </c>
    </row>
    <row r="43" spans="1:9" x14ac:dyDescent="0.25">
      <c r="A43" t="s">
        <v>174</v>
      </c>
    </row>
    <row r="44" spans="1:9" x14ac:dyDescent="0.25">
      <c r="A44" t="s">
        <v>167</v>
      </c>
      <c r="B44">
        <v>3.3</v>
      </c>
      <c r="D44" t="s">
        <v>154</v>
      </c>
      <c r="E44">
        <v>0.65</v>
      </c>
      <c r="F44" t="s">
        <v>134</v>
      </c>
    </row>
    <row r="45" spans="1:9" x14ac:dyDescent="0.25">
      <c r="D45" t="s">
        <v>175</v>
      </c>
      <c r="G45">
        <f>E44*(1+E48/E49)</f>
        <v>3.3030612244897961</v>
      </c>
    </row>
    <row r="46" spans="1:9" x14ac:dyDescent="0.25">
      <c r="D46" t="s">
        <v>170</v>
      </c>
      <c r="E46">
        <f>G46</f>
        <v>1E-8</v>
      </c>
      <c r="F46" t="s">
        <v>171</v>
      </c>
      <c r="G46">
        <v>1E-8</v>
      </c>
    </row>
    <row r="48" spans="1:9" x14ac:dyDescent="0.25">
      <c r="C48" t="s">
        <v>169</v>
      </c>
      <c r="D48" t="s">
        <v>148</v>
      </c>
      <c r="E48">
        <v>1000000</v>
      </c>
      <c r="F48" t="s">
        <v>177</v>
      </c>
    </row>
    <row r="49" spans="1:9" x14ac:dyDescent="0.25">
      <c r="C49" t="s">
        <v>168</v>
      </c>
      <c r="D49" t="s">
        <v>149</v>
      </c>
      <c r="E49">
        <v>245000</v>
      </c>
      <c r="F49" t="s">
        <v>179</v>
      </c>
      <c r="G49" t="s">
        <v>172</v>
      </c>
      <c r="H49">
        <v>10</v>
      </c>
      <c r="I49" t="s">
        <v>173</v>
      </c>
    </row>
    <row r="50" spans="1:9" x14ac:dyDescent="0.25">
      <c r="D50" t="s">
        <v>176</v>
      </c>
      <c r="E50" s="2">
        <f>E48+E49</f>
        <v>1245000</v>
      </c>
      <c r="F50" s="2">
        <f>B44/(E46*100)</f>
        <v>3300000</v>
      </c>
    </row>
    <row r="52" spans="1:9" x14ac:dyDescent="0.25">
      <c r="A52" t="s">
        <v>174</v>
      </c>
    </row>
    <row r="53" spans="1:9" x14ac:dyDescent="0.25">
      <c r="A53" t="s">
        <v>167</v>
      </c>
      <c r="B53">
        <v>1.8</v>
      </c>
      <c r="D53" t="s">
        <v>154</v>
      </c>
      <c r="E53">
        <v>0.65</v>
      </c>
      <c r="F53" t="s">
        <v>134</v>
      </c>
    </row>
    <row r="54" spans="1:9" x14ac:dyDescent="0.25">
      <c r="D54" t="s">
        <v>175</v>
      </c>
      <c r="G54">
        <f>E53*(1+E57/E58)</f>
        <v>1.8107142857142857</v>
      </c>
    </row>
    <row r="55" spans="1:9" x14ac:dyDescent="0.25">
      <c r="D55" t="s">
        <v>170</v>
      </c>
      <c r="E55">
        <f>G55</f>
        <v>1E-8</v>
      </c>
      <c r="F55" t="s">
        <v>171</v>
      </c>
      <c r="G55">
        <v>1E-8</v>
      </c>
    </row>
    <row r="57" spans="1:9" x14ac:dyDescent="0.25">
      <c r="C57" t="s">
        <v>169</v>
      </c>
      <c r="D57" t="s">
        <v>148</v>
      </c>
      <c r="E57">
        <v>1000000</v>
      </c>
      <c r="F57" t="s">
        <v>177</v>
      </c>
    </row>
    <row r="58" spans="1:9" x14ac:dyDescent="0.25">
      <c r="C58" t="s">
        <v>168</v>
      </c>
      <c r="D58" t="s">
        <v>149</v>
      </c>
      <c r="E58">
        <v>560000</v>
      </c>
      <c r="F58" t="s">
        <v>180</v>
      </c>
      <c r="G58" t="s">
        <v>172</v>
      </c>
      <c r="H58">
        <v>10</v>
      </c>
      <c r="I58" t="s">
        <v>173</v>
      </c>
    </row>
    <row r="59" spans="1:9" x14ac:dyDescent="0.25">
      <c r="D59" t="s">
        <v>176</v>
      </c>
      <c r="E59" s="2">
        <f>E57+E58</f>
        <v>1560000</v>
      </c>
      <c r="F59" s="2">
        <f>B53/(E55*100)</f>
        <v>1800000.0000000002</v>
      </c>
    </row>
  </sheetData>
  <mergeCells count="3">
    <mergeCell ref="A1:G1"/>
    <mergeCell ref="A11:G11"/>
    <mergeCell ref="A22:G22"/>
  </mergeCells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Budget</vt:lpstr>
      <vt:lpstr>I2SoverUSB Pinout</vt:lpstr>
      <vt:lpstr>Power Budget (2)</vt:lpstr>
      <vt:lpstr>DSP Pinout and Config</vt:lpstr>
      <vt:lpstr>Setpoint Calcs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2025-06-04T00:46:49Z</dcterms:created>
  <dcterms:modified xsi:type="dcterms:W3CDTF">2025-11-20T01:16:53Z</dcterms:modified>
</cp:coreProperties>
</file>